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Version11\"/>
    </mc:Choice>
  </mc:AlternateContent>
  <bookViews>
    <workbookView xWindow="0" yWindow="0" windowWidth="14370" windowHeight="7275" tabRatio="817" activeTab="5"/>
  </bookViews>
  <sheets>
    <sheet name="Equip Units" sheetId="158" r:id="rId1"/>
    <sheet name="MIDAS 설정" sheetId="1" r:id="rId2"/>
    <sheet name="Alarm List" sheetId="176" r:id="rId3"/>
    <sheet name="Report Sequence" sheetId="175" r:id="rId4"/>
    <sheet name="Alarm수집방식설정" sheetId="174" r:id="rId5"/>
    <sheet name="Alpha_Flip_M_0" sheetId="173" r:id="rId6"/>
    <sheet name="Connection Info" sheetId="172" r:id="rId7"/>
  </sheets>
  <functionGroups builtInGroupCount="18"/>
  <externalReferences>
    <externalReference r:id="rId8"/>
    <externalReference r:id="rId9"/>
    <externalReference r:id="rId10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Alpha_Flip">'MIDAS 설정'!$C$20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<sst xmlns="http://schemas.openxmlformats.org/spreadsheetml/2006/main" count="708" uniqueCount="432">
  <si>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</si>
  <si>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</si>
  <si>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</si>
  <si>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</si>
  <si>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</si>
  <si>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</si>
  <si>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</si>
  <si>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</si>
  <si>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</si>
  <si>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</si>
  <si>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</si>
  <si>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</si>
  <si>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</si>
  <si>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</si>
  <si>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</si>
  <si>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</si>
  <si>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</si>
  <si>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</si>
  <si>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</si>
  <si>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</si>
  <si>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</si>
  <si>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</si>
  <si>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</si>
  <si>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</si>
  <si>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</si>
  <si>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</si>
  <si>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</si>
  <si>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</si>
  <si>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</si>
  <si>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</si>
  <si>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</si>
  <si>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</si>
  <si>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</si>
  <si>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</si>
  <si>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</si>
  <si>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</si>
  <si>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</si>
  <si>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</si>
  <si>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</si>
  <si>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</si>
  <si>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</si>
  <si>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</si>
  <si>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</si>
  <si>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</si>
  <si>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</si>
  <si>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</si>
  <si>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</si>
  <si>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</si>
  <si>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</si>
  <si>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</si>
  <si>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</si>
  <si>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</si>
  <si>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</si>
  <si>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</si>
  <si>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</si>
  <si>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</si>
  <si>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</si>
  <si>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</si>
  <si>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</si>
  <si>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</si>
  <si>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</si>
  <si>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</si>
  <si>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</si>
  <si>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</si>
  <si>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</si>
  <si>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</si>
  <si>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</si>
  <si>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</si>
  <si>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</si>
  <si>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</si>
  <si>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</si>
  <si>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</si>
  <si>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</si>
  <si>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</si>
  <si>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</si>
  <si>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</si>
  <si>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</si>
  <si>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</si>
  <si>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</si>
  <si>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</si>
  <si>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</si>
  <si>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</si>
  <si>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</si>
  <si>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</si>
  <si>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</si>
  <si>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</si>
  <si>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</si>
  <si>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</si>
  <si>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</si>
  <si>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</si>
  <si>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</si>
  <si>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</si>
  <si>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</si>
  <si>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</si>
  <si>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</si>
  <si>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</si>
  <si>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</si>
  <si>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</si>
  <si>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</si>
  <si>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</si>
  <si>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</si>
  <si>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</si>
  <si>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</si>
  <si>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</si>
  <si>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</si>
  <si>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</si>
  <si>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</si>
  <si>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</si>
  <si>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</si>
  <si>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</si>
  <si>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</si>
  <si>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</si>
  <si>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</si>
  <si>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</si>
  <si>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</si>
  <si>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</si>
  <si>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</si>
  <si>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</si>
  <si>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</si>
  <si>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</si>
  <si>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</si>
  <si>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</si>
  <si>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</si>
  <si>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</si>
  <si>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</si>
  <si>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</si>
  <si>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</si>
  <si>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</si>
  <si>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</si>
  <si>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</si>
  <si>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</si>
  <si>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</si>
  <si>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</si>
  <si>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</si>
  <si>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</si>
  <si>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</si>
  <si>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</si>
  <si>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</si>
  <si>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</si>
  <si>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</si>
  <si>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</si>
  <si>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</si>
  <si>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</si>
  <si>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</si>
  <si>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</si>
  <si>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</si>
  <si>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</si>
  <si>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</si>
  <si>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</si>
  <si>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</si>
  <si>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</si>
  <si>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</si>
  <si>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</si>
  <si>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</si>
  <si>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</si>
  <si>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</si>
  <si>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</si>
  <si>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</si>
  <si>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</si>
  <si>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</si>
  <si>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</si>
  <si>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</si>
  <si>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</si>
  <si>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</si>
  <si>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</si>
  <si>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</si>
  <si>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</si>
  <si>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</si>
  <si>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</si>
  <si>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</si>
  <si>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</si>
  <si>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</si>
  <si>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</si>
  <si>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</si>
  <si>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</si>
  <si>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</si>
  <si>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</si>
  <si>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</si>
  <si>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</si>
  <si>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</si>
  <si>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</si>
  <si>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</si>
  <si>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</si>
  <si>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</si>
  <si>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</si>
  <si>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</si>
  <si>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</si>
  <si>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</si>
  <si>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</si>
  <si>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</si>
  <si>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FlipMelsecq</t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</si>
  <si>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</si>
  <si>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</si>
  <si>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</si>
  <si>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</si>
  <si>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</si>
  <si>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</si>
  <si>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</si>
  <si>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</si>
  <si>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</si>
  <si>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</si>
  <si>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</si>
  <si>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</si>
  <si>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</si>
  <si>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</si>
  <si>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</si>
  <si>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</si>
  <si>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</si>
  <si>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</si>
  <si>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</si>
  <si>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</si>
  <si>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</si>
  <si>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</si>
  <si>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</si>
  <si>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</si>
  <si>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</si>
  <si>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</si>
  <si>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</si>
  <si>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</si>
  <si>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</si>
  <si>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</si>
  <si>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</si>
  <si>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</si>
  <si>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</si>
  <si>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</si>
  <si>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</si>
  <si>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</si>
  <si>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</si>
  <si>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</si>
  <si>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</si>
  <si>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</si>
  <si>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</si>
  <si>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</si>
  <si>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</si>
  <si>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</si>
  <si>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</si>
  <si>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</si>
  <si>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</si>
  <si>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</si>
  <si>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</si>
  <si>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</si>
  <si>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</si>
  <si>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</si>
  <si>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</si>
  <si>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</si>
  <si>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</si>
  <si>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</si>
  <si>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</si>
  <si>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</si>
  <si>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</si>
  <si>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</si>
  <si>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</si>
  <si>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MULTIPLE</t>
  </si>
  <si>
    <t>pa</t>
  </si>
  <si>
    <t>pa</t>
    <phoneticPr fontId="2" type="noConversion"/>
  </si>
  <si>
    <t>NA</t>
  </si>
  <si>
    <t>times</t>
  </si>
  <si>
    <t>%</t>
  </si>
  <si>
    <t>mm/s</t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</si>
  <si>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</si>
  <si>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</si>
  <si>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</si>
  <si>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</si>
  <si>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</si>
  <si>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</si>
  <si>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</si>
  <si>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</si>
  <si>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</si>
  <si>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</si>
  <si>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</si>
  <si>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</si>
  <si>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</si>
  <si>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</si>
  <si>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</si>
  <si>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</si>
  <si>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</si>
  <si>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</si>
  <si>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</si>
  <si>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</si>
  <si>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</si>
  <si>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</si>
  <si>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</si>
  <si>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</si>
  <si>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</si>
  <si>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</si>
  <si>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</si>
  <si>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</si>
  <si>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</si>
  <si>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</si>
  <si>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</si>
  <si>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</si>
  <si>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</si>
  <si>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</si>
  <si>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</si>
  <si>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</si>
  <si>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D0040</t>
  </si>
  <si>
    <t>D0060</t>
  </si>
  <si>
    <t>D0080</t>
  </si>
  <si>
    <t>D0100</t>
  </si>
  <si>
    <t>D0120</t>
  </si>
  <si>
    <t>D0140</t>
  </si>
  <si>
    <t>D0160</t>
  </si>
  <si>
    <t>D30704</t>
  </si>
  <si>
    <t>D30706</t>
  </si>
  <si>
    <t>D30708</t>
  </si>
  <si>
    <t>D30710</t>
  </si>
  <si>
    <t>D30712</t>
  </si>
  <si>
    <t>D30714</t>
  </si>
  <si>
    <t>D30716</t>
  </si>
  <si>
    <t>D39503</t>
  </si>
  <si>
    <t>D39504</t>
  </si>
  <si>
    <t>D39505</t>
  </si>
  <si>
    <t>D39501</t>
  </si>
  <si>
    <t>D39502</t>
  </si>
  <si>
    <t>D7004</t>
  </si>
  <si>
    <t>D7006</t>
  </si>
  <si>
    <t>D7014</t>
  </si>
  <si>
    <t>D7016</t>
  </si>
  <si>
    <t>D7104</t>
  </si>
  <si>
    <t>D7106</t>
  </si>
  <si>
    <t>D7114</t>
  </si>
  <si>
    <t>D7116</t>
  </si>
  <si>
    <t>FlipMelsecq</t>
    <phoneticPr fontId="2" type="noConversion"/>
  </si>
  <si>
    <t>N</t>
    <phoneticPr fontId="2" type="noConversion"/>
  </si>
  <si>
    <t>Alpha_Flip</t>
  </si>
  <si>
    <t>Alpha_Flip</t>
    <phoneticPr fontId="2" type="noConversion"/>
  </si>
  <si>
    <t>Alpha_Flip</t>
    <phoneticPr fontId="2" type="noConversion"/>
  </si>
  <si>
    <t>Line Name : LGD/KOR/PJ/OP2/N</t>
  </si>
  <si>
    <t xml:space="preserve">2. machine : Alpha_Flip, device : MELSEC-Q-Series(M) </t>
  </si>
  <si>
    <t>Alpha_Flip_M_0</t>
  </si>
  <si>
    <t>LGD/KOR/PJ/OP2/N</t>
  </si>
  <si>
    <t>TIME(year)</t>
  </si>
  <si>
    <t>년</t>
  </si>
  <si>
    <t>PV</t>
  </si>
  <si>
    <t>D39500</t>
  </si>
  <si>
    <t>TIME(month)</t>
  </si>
  <si>
    <t>월</t>
  </si>
  <si>
    <t>TIME(day)</t>
  </si>
  <si>
    <t>일</t>
  </si>
  <si>
    <t>TIME(hour)</t>
  </si>
  <si>
    <t>시</t>
  </si>
  <si>
    <t>TIME(min)</t>
  </si>
  <si>
    <t>분</t>
  </si>
  <si>
    <t>TIME(sec)</t>
  </si>
  <si>
    <t>초</t>
  </si>
  <si>
    <t>NUMBER</t>
  </si>
  <si>
    <t>구동별 Numbering</t>
  </si>
  <si>
    <t>EVENT</t>
  </si>
  <si>
    <t>Servo Sequence</t>
  </si>
  <si>
    <t>STATUS</t>
  </si>
  <si>
    <t>ONOFF 상태확인</t>
  </si>
  <si>
    <t>COMMENT</t>
  </si>
  <si>
    <t>ONOFF Comment</t>
  </si>
  <si>
    <t>D0000</t>
  </si>
  <si>
    <t>D0020</t>
  </si>
  <si>
    <t>D30700</t>
  </si>
  <si>
    <t>D30702</t>
  </si>
  <si>
    <t>D7000</t>
  </si>
  <si>
    <t>D7002</t>
  </si>
  <si>
    <t>D7010</t>
  </si>
  <si>
    <t>D7012</t>
  </si>
  <si>
    <t>D7020</t>
  </si>
  <si>
    <t>D7100</t>
  </si>
  <si>
    <t>D7102</t>
  </si>
  <si>
    <t>D7110</t>
  </si>
  <si>
    <t>D7112</t>
  </si>
  <si>
    <t>D7120</t>
  </si>
  <si>
    <t>FLIP #1 sosu</t>
  </si>
  <si>
    <t>Gauge1 소수</t>
  </si>
  <si>
    <t>D32002</t>
  </si>
  <si>
    <t>FLIP #1 jisu</t>
  </si>
  <si>
    <t>Gauge1 10^지수</t>
  </si>
  <si>
    <t>D32004</t>
  </si>
  <si>
    <t>FLIP #2 sosu</t>
  </si>
  <si>
    <t>Gauge2 소수</t>
  </si>
  <si>
    <t>D32012</t>
  </si>
  <si>
    <t>FLIP #2 jisu</t>
  </si>
  <si>
    <t>Gauge2 10^지수</t>
  </si>
  <si>
    <t>D32014</t>
  </si>
  <si>
    <t>{625DFF19-0F15-4951-82B2-B3EC68956798}</t>
  </si>
  <si>
    <t>{A6C1C980-FCC6-43F7-9AD9-DB99F5FF079A}</t>
  </si>
  <si>
    <t>{E18CFAA6-4EB2-49DB-9DD4-ABD1D2871B2C}</t>
  </si>
  <si>
    <t>{3F20BEFD-F2B5-4764-A511-3AA430209F54}</t>
  </si>
  <si>
    <t>{1F446654-30B5-4439-821F-32EF7ED841FF}</t>
  </si>
  <si>
    <t>{7E9E2E2C-E020-41B9-B839-8801E1363B51}</t>
  </si>
  <si>
    <t>{37E28707-EDCF-4124-9034-441C888A68E1}</t>
  </si>
  <si>
    <t>{3833EAF6-A104-4073-934E-7AA8F29426EE}</t>
  </si>
  <si>
    <t>{D200A30E-6F01-4475-B6DA-0341195D7D6D}</t>
  </si>
  <si>
    <t>{91F8ED37-629D-4C8F-91D1-0120F2C998B5}</t>
  </si>
  <si>
    <t>{3CBE05F3-0566-4764-B210-41E916B017BE}</t>
  </si>
  <si>
    <t>{7368FD1E-BFA8-4355-A691-CA7C911BEEB6}</t>
  </si>
  <si>
    <t>{C6002D9D-4A18-4444-9C0A-DE765510EAEF}</t>
  </si>
  <si>
    <t>{4B2F2D90-B0B0-4E98-9251-E820B2DD4840}</t>
  </si>
  <si>
    <t>{43D2DC7C-88D8-46DC-89BC-EC92583E8091}</t>
  </si>
  <si>
    <t>{D773D0DA-D81C-4193-BF0A-1E56AE73C9FA}</t>
  </si>
  <si>
    <t>{A33C2086-9BDF-4F6C-ACFB-40055F80E22A}</t>
  </si>
  <si>
    <t>{836903EF-3663-48F0-A449-AA3EE0C07465}</t>
  </si>
  <si>
    <t>{C642AC44-4139-436D-B29E-4C93BBB936D4}</t>
  </si>
  <si>
    <t>{1A9B2CD4-CA62-469C-BEF6-599AE0DF8562}</t>
  </si>
  <si>
    <t>{0E8B9024-8080-4F7F-BFED-75CE52056BB5}</t>
  </si>
  <si>
    <t>{0273EA16-EDBD-4AC9-B15F-14F644DC1E79}</t>
  </si>
  <si>
    <t>{66F99FB5-E1BF-4C44-A164-C6687EE2B3F6}</t>
  </si>
  <si>
    <t>{04CFCA7C-D7D1-4ED7-848E-B59EFE7153AB}</t>
  </si>
  <si>
    <t>{E6D77C8A-46AB-4FDE-8C21-B9888831AF1B}</t>
  </si>
  <si>
    <t>{54C7FBD7-6249-4363-A1F0-010CBAA8F044}</t>
  </si>
  <si>
    <t>{B7294124-0A5C-435B-8027-27059BF8EE5A}</t>
  </si>
  <si>
    <t>{EB6A360A-DB03-411B-9CF2-94E9D888C1F3}</t>
  </si>
  <si>
    <t>{498B353E-F46B-4C9C-B9CF-525FC7F51DA4}</t>
  </si>
  <si>
    <t>{C2BC4C67-2745-4234-AAFE-296917EB3055}</t>
  </si>
  <si>
    <t>{99ECA0B2-1E73-4E2B-9657-7725007087F4}</t>
  </si>
  <si>
    <t>{3510CD6B-370A-4AE5-95E6-D157FE7EF957}</t>
  </si>
  <si>
    <t>{B5939831-76BA-4507-AD06-53F81C5B9188}</t>
  </si>
  <si>
    <t>{40388994-7586-4CDD-9125-87FCEA6D0ADF}</t>
  </si>
  <si>
    <t>{C4312D1B-8574-4B2D-8D6B-59F155C21021}</t>
  </si>
  <si>
    <t>{64775747-3E4F-4293-970D-C112C52D5C8D}</t>
  </si>
  <si>
    <t>{96570007-9E06-48D7-8785-C041DC94D3CB}</t>
  </si>
  <si>
    <t>{C62176DD-58B6-4743-823E-091CDA86A04F}</t>
  </si>
  <si>
    <t>{B67279CD-7E74-4813-B004-EA6C7960DC23}</t>
  </si>
  <si>
    <t>{963D72C7-3A2F-441E-8E6F-8D10D6F62D75}</t>
  </si>
  <si>
    <t>{33145FD8-856A-4826-89A3-83057E79DE91}</t>
  </si>
  <si>
    <t>{741E90E0-AE5B-43E6-8A84-96122E7DD78E}</t>
  </si>
  <si>
    <t>{70DE910D-90EF-4461-BDAD-78DE5551F53A}</t>
  </si>
  <si>
    <t>{8AA47D45-F6E0-48C5-97A8-0574A092EE47}</t>
  </si>
  <si>
    <t>{7B5F7A2E-AA95-43A5-A1D7-9E42867F128A}</t>
  </si>
  <si>
    <t>{9E44D650-CDF1-4A1C-9999-5BB1EBF3A5D8}</t>
  </si>
  <si>
    <t>{C5BE8B23-811E-4573-8FB4-9C94E0A83935}</t>
  </si>
  <si>
    <t>{40C37495-D77C-460E-83BD-5DA3C8BCD7B0}</t>
  </si>
  <si>
    <t>{5017796C-7874-486E-B5A8-DCE77F27B8DE}</t>
  </si>
  <si>
    <t>{83734D09-5462-454F-86AE-4131C02573F8}</t>
  </si>
  <si>
    <t>{073738C9-DEDF-4318-9012-8F446A887DFD}</t>
  </si>
  <si>
    <t>{AB980BC3-6903-47F7-8531-5E8E893E5181}</t>
  </si>
  <si>
    <t>{9F975324-AB75-4C1B-924B-3DA36982D149}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</si>
</sst>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9" fillId="0" borderId="30" xfId="0" applyFont="1" applyBorder="1" applyAlignment="1">
      <alignment vertical="center"/>
    </xf>
  </cellXfs>
  <cellStyles count="3">
    <cellStyle name="표준" xfId="0" builtinId="0"/>
    <cellStyle name="표준 9" xfId="1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63"/>
      <c r="D1" s="64"/>
      <c r="E1" s="64"/>
      <c r="F1" s="64"/>
      <c r="G1" s="64"/>
      <c r="H1" s="64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65" t="s">
        <v>92</v>
      </c>
      <c r="D5" s="66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67" t="s">
        <v>158</v>
      </c>
      <c r="D6" s="68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67" t="s">
        <v>157</v>
      </c>
      <c r="D7" s="68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67" t="s">
        <v>156</v>
      </c>
      <c r="D8" s="68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67" t="s">
        <v>159</v>
      </c>
      <c r="D9" s="68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67" t="s">
        <v>160</v>
      </c>
      <c r="D10" s="68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67" t="s">
        <v>161</v>
      </c>
      <c r="D11" s="68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67" t="s">
        <v>162</v>
      </c>
      <c r="D12" s="68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67" t="s">
        <v>163</v>
      </c>
      <c r="D13" s="68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67" t="s">
        <v>164</v>
      </c>
      <c r="D14" s="68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67" t="s">
        <v>165</v>
      </c>
      <c r="D15" s="68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67" t="s">
        <v>166</v>
      </c>
      <c r="D16" s="68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67" t="s">
        <v>167</v>
      </c>
      <c r="D17" s="68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67" t="s">
        <v>168</v>
      </c>
      <c r="D18" s="68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67" t="s">
        <v>169</v>
      </c>
      <c r="D19" s="68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67" t="s">
        <v>170</v>
      </c>
      <c r="D20" s="68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67"/>
      <c r="D21" s="68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 x14ac:dyDescent="0.3">
      <c r="B22" s="8"/>
      <c r="C22" s="67"/>
      <c r="D22" s="68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67"/>
      <c r="D23" s="68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67"/>
      <c r="D24" s="68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67"/>
      <c r="D25" s="68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67"/>
      <c r="D26" s="68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67"/>
      <c r="D27" s="68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67"/>
      <c r="D28" s="68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67"/>
      <c r="D29" s="68"/>
      <c r="F29" s="34" t="s">
        <v>254</v>
      </c>
      <c r="H29" s="2"/>
      <c r="J29" s="2"/>
      <c r="L29" s="2"/>
      <c r="M29" s="2"/>
      <c r="N29" s="2"/>
      <c r="O29" s="2"/>
    </row>
    <row r="30" spans="2:15" x14ac:dyDescent="0.3">
      <c r="B30" s="8"/>
      <c r="C30" s="67"/>
      <c r="D30" s="68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59" t="s">
        <v>150</v>
      </c>
      <c r="M53" s="60"/>
      <c r="N53" s="60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61"/>
      <c r="M54" s="60"/>
      <c r="N54" s="60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61"/>
      <c r="M55" s="60"/>
      <c r="N55" s="60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1"/>
      <c r="M56" s="60"/>
      <c r="N56" s="60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1"/>
      <c r="M57" s="60"/>
      <c r="N57" s="60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61"/>
      <c r="M58" s="60"/>
      <c r="N58" s="60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61"/>
      <c r="M59" s="60"/>
      <c r="N59" s="60"/>
    </row>
    <row r="60" spans="2:14" x14ac:dyDescent="0.3">
      <c r="B60" s="8" t="s">
        <v>103</v>
      </c>
      <c r="J60" s="37"/>
      <c r="K60" s="37"/>
      <c r="L60" s="61"/>
      <c r="M60" s="60"/>
      <c r="N60" s="60"/>
    </row>
    <row r="61" spans="2:14" x14ac:dyDescent="0.3">
      <c r="B61" s="8" t="s">
        <v>104</v>
      </c>
      <c r="L61" s="62" t="s">
        <v>149</v>
      </c>
      <c r="M61" s="60"/>
      <c r="N61" s="60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60"/>
      <c r="M62" s="60"/>
      <c r="N62" s="60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60"/>
      <c r="M63" s="60"/>
      <c r="N63" s="60"/>
    </row>
    <row r="64" spans="2:14" x14ac:dyDescent="0.3">
      <c r="B64" s="8" t="s">
        <v>107</v>
      </c>
      <c r="D64" s="37">
        <v>0</v>
      </c>
      <c r="E64" s="37">
        <v>1</v>
      </c>
      <c r="F64" s="37"/>
      <c r="L64" s="60"/>
      <c r="M64" s="60"/>
      <c r="N64" s="60"/>
    </row>
    <row r="65" spans="2:14" x14ac:dyDescent="0.3">
      <c r="B65" s="8" t="s">
        <v>97</v>
      </c>
      <c r="D65" s="37">
        <v>1</v>
      </c>
      <c r="E65" s="37">
        <v>2</v>
      </c>
      <c r="F65" s="37"/>
      <c r="L65" s="60"/>
      <c r="M65" s="60"/>
      <c r="N65" s="60"/>
    </row>
    <row r="66" spans="2:14" x14ac:dyDescent="0.3">
      <c r="B66" s="8" t="s">
        <v>108</v>
      </c>
      <c r="D66" s="37">
        <v>2</v>
      </c>
      <c r="E66" s="37">
        <v>3</v>
      </c>
      <c r="F66" s="37"/>
      <c r="L66" s="60"/>
      <c r="M66" s="60"/>
      <c r="N66" s="60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opLeftCell="B1" zoomScale="85" zoomScaleNormal="85" workbookViewId="0">
      <selection activeCell="G18" sqref="G18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69" t="s">
        <v>123</v>
      </c>
      <c r="C1" s="69"/>
      <c r="D1" s="69"/>
      <c r="E1" s="69"/>
      <c r="F1" s="69"/>
    </row>
    <row r="2" spans="2:7" ht="18" x14ac:dyDescent="0.3">
      <c r="B2" s="69"/>
      <c r="C2" s="60"/>
      <c r="D2" s="60"/>
      <c r="E2" s="60"/>
      <c r="F2" s="60"/>
    </row>
    <row r="3" spans="2:7" ht="25.5" customHeight="1" thickBot="1" x14ac:dyDescent="0.35">
      <c r="B3" s="77" t="s">
        <v>125</v>
      </c>
      <c r="C3" s="78"/>
      <c r="D3" s="78"/>
      <c r="E3" s="78"/>
      <c r="F3" s="78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186</v>
      </c>
      <c r="C5" s="16" t="s">
        <v>187</v>
      </c>
      <c r="D5" s="16" t="s">
        <v>188</v>
      </c>
      <c r="E5" s="16" t="s">
        <v>189</v>
      </c>
      <c r="F5" s="17" t="s">
        <v>323</v>
      </c>
    </row>
    <row r="6" spans="2:7" ht="18" x14ac:dyDescent="0.3">
      <c r="B6" s="69"/>
      <c r="C6" s="60"/>
      <c r="D6" s="60"/>
      <c r="E6" s="60"/>
      <c r="F6" s="60"/>
    </row>
    <row r="7" spans="2:7" ht="21.75" customHeight="1" thickBot="1" x14ac:dyDescent="0.35">
      <c r="B7" s="79" t="s">
        <v>124</v>
      </c>
      <c r="C7" s="79"/>
      <c r="D7" s="79"/>
      <c r="E7" s="79"/>
      <c r="F7" s="79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81" t="s">
        <v>325</v>
      </c>
      <c r="C9" s="39" t="s">
        <v>145</v>
      </c>
      <c r="D9" s="46">
        <v>1</v>
      </c>
      <c r="E9" s="13"/>
      <c r="F9" s="13"/>
      <c r="G9" s="14"/>
    </row>
    <row r="10" spans="2:7" x14ac:dyDescent="0.3">
      <c r="B10" s="82"/>
      <c r="C10" s="29" t="s">
        <v>131</v>
      </c>
      <c r="D10" s="45">
        <v>0</v>
      </c>
      <c r="E10" s="13"/>
      <c r="F10" s="13"/>
      <c r="G10" s="14"/>
    </row>
    <row r="11" spans="2:7" x14ac:dyDescent="0.3">
      <c r="B11" s="82"/>
      <c r="C11" s="29" t="s">
        <v>132</v>
      </c>
      <c r="D11" s="45">
        <v>0</v>
      </c>
      <c r="E11" s="13"/>
      <c r="F11" s="13"/>
      <c r="G11" s="14"/>
    </row>
    <row r="12" spans="2:7" x14ac:dyDescent="0.3">
      <c r="B12" s="82"/>
      <c r="C12" s="29" t="s">
        <v>140</v>
      </c>
      <c r="D12" s="45">
        <v>0</v>
      </c>
    </row>
    <row r="13" spans="2:7" x14ac:dyDescent="0.3">
      <c r="B13" s="83"/>
      <c r="C13" s="29" t="s">
        <v>154</v>
      </c>
      <c r="D13" s="45">
        <v>0</v>
      </c>
      <c r="G13" s="30"/>
    </row>
    <row r="14" spans="2:7" x14ac:dyDescent="0.3">
      <c r="B14" s="83"/>
      <c r="C14" s="29" t="s">
        <v>155</v>
      </c>
      <c r="D14" s="45">
        <v>0</v>
      </c>
      <c r="G14" s="48"/>
    </row>
    <row r="15" spans="2:7" ht="17.25" thickBot="1" x14ac:dyDescent="0.35">
      <c r="B15" s="84"/>
      <c r="C15" s="49" t="s">
        <v>185</v>
      </c>
      <c r="D15" s="50">
        <v>0</v>
      </c>
      <c r="G15" s="41"/>
    </row>
    <row r="16" spans="2:7" ht="18" x14ac:dyDescent="0.3">
      <c r="B16" s="69"/>
      <c r="C16" s="60"/>
      <c r="D16" s="60"/>
      <c r="E16" s="60"/>
      <c r="F16" s="60"/>
    </row>
    <row r="17" spans="2:6" ht="18.75" thickBot="1" x14ac:dyDescent="0.35">
      <c r="B17" s="69" t="s">
        <v>126</v>
      </c>
      <c r="C17" s="80"/>
      <c r="D17" s="80"/>
      <c r="E17" s="80"/>
      <c r="F17" s="80"/>
    </row>
    <row r="18" spans="2:6" ht="17.25" thickBot="1" x14ac:dyDescent="0.35">
      <c r="B18" s="71"/>
      <c r="C18" s="72"/>
      <c r="D18" s="23" t="s">
        <v>114</v>
      </c>
      <c r="E18" s="11"/>
    </row>
    <row r="19" spans="2:6" x14ac:dyDescent="0.3">
      <c r="B19" s="27" t="s">
        <v>115</v>
      </c>
      <c r="C19" s="28" t="s">
        <v>326</v>
      </c>
      <c r="D19" s="18" t="s">
        <v>379</v>
      </c>
      <c r="E19" s="11"/>
    </row>
    <row r="20" spans="2:6" x14ac:dyDescent="0.3">
      <c r="B20" s="73" t="s">
        <v>116</v>
      </c>
      <c r="C20" s="19" t="s">
        <v>322</v>
      </c>
      <c r="D20" s="20" t="s">
        <v>380</v>
      </c>
      <c r="E20" s="11"/>
    </row>
    <row r="21" spans="2:6" x14ac:dyDescent="0.3">
      <c r="B21" s="73"/>
      <c r="C21" s="19"/>
      <c r="D21" s="20"/>
      <c r="E21" s="11"/>
    </row>
    <row r="22" spans="2:6" x14ac:dyDescent="0.3">
      <c r="B22" s="73"/>
      <c r="C22" s="19"/>
      <c r="D22" s="20"/>
      <c r="E22" s="11"/>
    </row>
    <row r="23" spans="2:6" x14ac:dyDescent="0.3">
      <c r="B23" s="73"/>
      <c r="C23" s="19"/>
      <c r="D23" s="20"/>
      <c r="E23" s="11"/>
    </row>
    <row r="24" spans="2:6" x14ac:dyDescent="0.3">
      <c r="B24" s="73"/>
      <c r="D24" s="20"/>
      <c r="E24" s="11"/>
    </row>
    <row r="25" spans="2:6" x14ac:dyDescent="0.3">
      <c r="B25" s="73"/>
      <c r="C25" s="19"/>
      <c r="D25" s="20"/>
      <c r="E25" s="11"/>
    </row>
    <row r="26" spans="2:6" x14ac:dyDescent="0.3">
      <c r="B26" s="73"/>
      <c r="C26" s="19"/>
      <c r="D26" s="20"/>
      <c r="E26" s="11"/>
    </row>
    <row r="27" spans="2:6" x14ac:dyDescent="0.3">
      <c r="B27" s="73"/>
      <c r="C27" s="19"/>
      <c r="D27" s="20"/>
      <c r="E27" s="11"/>
    </row>
    <row r="28" spans="2:6" x14ac:dyDescent="0.3">
      <c r="B28" s="73"/>
      <c r="C28" s="19"/>
      <c r="D28" s="20"/>
      <c r="E28" s="11"/>
    </row>
    <row r="29" spans="2:6" x14ac:dyDescent="0.3">
      <c r="B29" s="73"/>
      <c r="C29" s="19"/>
      <c r="D29" s="20"/>
      <c r="E29" s="11"/>
    </row>
    <row r="30" spans="2:6" x14ac:dyDescent="0.3">
      <c r="B30" s="73"/>
      <c r="C30" s="19"/>
      <c r="D30" s="20"/>
      <c r="E30" s="11"/>
    </row>
    <row r="31" spans="2:6" x14ac:dyDescent="0.3">
      <c r="B31" s="73"/>
      <c r="C31" s="19"/>
      <c r="D31" s="20"/>
      <c r="E31" s="11"/>
    </row>
    <row r="32" spans="2:6" x14ac:dyDescent="0.3">
      <c r="B32" s="73"/>
      <c r="C32" s="19"/>
      <c r="D32" s="20"/>
      <c r="E32" s="11"/>
    </row>
    <row r="33" spans="2:5" x14ac:dyDescent="0.3">
      <c r="B33" s="73"/>
      <c r="C33" s="19"/>
      <c r="D33" s="20"/>
      <c r="E33" s="11"/>
    </row>
    <row r="34" spans="2:5" x14ac:dyDescent="0.3">
      <c r="B34" s="73"/>
      <c r="C34" s="19"/>
      <c r="D34" s="20"/>
      <c r="E34" s="11"/>
    </row>
    <row r="35" spans="2:5" x14ac:dyDescent="0.3">
      <c r="B35" s="73"/>
      <c r="C35" s="19"/>
      <c r="D35" s="20"/>
      <c r="E35" s="11"/>
    </row>
    <row r="36" spans="2:5" x14ac:dyDescent="0.3">
      <c r="B36" s="73"/>
      <c r="C36" s="19"/>
      <c r="D36" s="20"/>
      <c r="E36" s="11"/>
    </row>
    <row r="37" spans="2:5" x14ac:dyDescent="0.3">
      <c r="B37" s="73"/>
      <c r="C37" s="19"/>
      <c r="D37" s="20"/>
      <c r="E37" s="11"/>
    </row>
    <row r="38" spans="2:5" x14ac:dyDescent="0.3">
      <c r="B38" s="73"/>
      <c r="C38" s="19"/>
      <c r="D38" s="20"/>
      <c r="E38" s="11"/>
    </row>
    <row r="39" spans="2:5" x14ac:dyDescent="0.3">
      <c r="B39" s="73"/>
      <c r="C39" s="19"/>
      <c r="D39" s="20"/>
      <c r="E39" s="11"/>
    </row>
    <row r="40" spans="2:5" x14ac:dyDescent="0.3">
      <c r="B40" s="73"/>
      <c r="C40" s="19"/>
      <c r="D40" s="20"/>
      <c r="E40" s="11"/>
    </row>
    <row r="41" spans="2:5" x14ac:dyDescent="0.3">
      <c r="B41" s="73"/>
      <c r="C41" s="19"/>
      <c r="D41" s="20"/>
      <c r="E41" s="11"/>
    </row>
    <row r="42" spans="2:5" x14ac:dyDescent="0.3">
      <c r="B42" s="73"/>
      <c r="C42" s="19"/>
      <c r="D42" s="20"/>
      <c r="E42" s="11"/>
    </row>
    <row r="43" spans="2:5" x14ac:dyDescent="0.3">
      <c r="B43" s="73"/>
      <c r="C43" s="19"/>
      <c r="D43" s="20"/>
      <c r="E43" s="11"/>
    </row>
    <row r="44" spans="2:5" x14ac:dyDescent="0.3">
      <c r="B44" s="73"/>
      <c r="C44" s="19"/>
      <c r="D44" s="20"/>
      <c r="E44" s="11"/>
    </row>
    <row r="45" spans="2:5" x14ac:dyDescent="0.3">
      <c r="B45" s="73"/>
      <c r="C45" s="19"/>
      <c r="D45" s="20"/>
      <c r="E45" s="11"/>
    </row>
    <row r="46" spans="2:5" x14ac:dyDescent="0.3">
      <c r="B46" s="73"/>
      <c r="C46" s="19"/>
      <c r="D46" s="20"/>
      <c r="E46" s="11"/>
    </row>
    <row r="47" spans="2:5" x14ac:dyDescent="0.3">
      <c r="B47" s="73"/>
      <c r="C47" s="19"/>
      <c r="D47" s="20"/>
      <c r="E47" s="11"/>
    </row>
    <row r="48" spans="2:5" x14ac:dyDescent="0.3">
      <c r="B48" s="73"/>
      <c r="C48" s="19"/>
      <c r="D48" s="20"/>
      <c r="E48" s="11"/>
    </row>
    <row r="49" spans="2:6" ht="17.25" thickBot="1" x14ac:dyDescent="0.35">
      <c r="B49" s="74"/>
      <c r="C49" s="21"/>
      <c r="D49" s="22"/>
      <c r="E49" s="11"/>
    </row>
    <row r="50" spans="2:6" ht="18" x14ac:dyDescent="0.3">
      <c r="B50" s="75"/>
      <c r="C50" s="76"/>
      <c r="D50" s="76"/>
      <c r="E50" s="60"/>
      <c r="F50" s="60"/>
    </row>
    <row r="51" spans="2:6" ht="48.75" customHeight="1" x14ac:dyDescent="0.3">
      <c r="B51" s="69" t="s">
        <v>128</v>
      </c>
      <c r="C51" s="70"/>
      <c r="D51" s="70"/>
      <c r="E51" s="60"/>
      <c r="F51" s="60"/>
    </row>
    <row r="52" spans="2:6" ht="48.75" customHeight="1" x14ac:dyDescent="0.3">
      <c r="B52" s="69" t="s">
        <v>135</v>
      </c>
      <c r="C52" s="70"/>
      <c r="D52" s="70"/>
      <c r="E52" s="60"/>
      <c r="F52" s="60"/>
    </row>
    <row r="53" spans="2:6" ht="48.75" customHeight="1" x14ac:dyDescent="0.3">
      <c r="B53" s="69" t="s">
        <v>129</v>
      </c>
      <c r="C53" s="70"/>
      <c r="D53" s="70"/>
      <c r="E53" s="60"/>
      <c r="F53" s="60"/>
    </row>
    <row r="54" spans="2:6" ht="48.75" customHeight="1" x14ac:dyDescent="0.3">
      <c r="B54" s="69" t="s">
        <v>136</v>
      </c>
      <c r="C54" s="70"/>
      <c r="D54" s="70"/>
      <c r="E54" s="60"/>
      <c r="F54" s="60"/>
    </row>
    <row r="55" spans="2:6" ht="24" customHeight="1" x14ac:dyDescent="0.3">
      <c r="B55" s="69"/>
      <c r="C55" s="60"/>
      <c r="D55" s="60"/>
      <c r="E55" s="60"/>
      <c r="F55" s="60"/>
    </row>
    <row r="56" spans="2:6" ht="48.75" customHeight="1" x14ac:dyDescent="0.3">
      <c r="B56" s="69" t="s">
        <v>127</v>
      </c>
      <c r="C56" s="70"/>
      <c r="D56" s="70"/>
      <c r="E56" s="60"/>
      <c r="F56" s="60"/>
    </row>
    <row r="57" spans="2:6" ht="45.75" customHeight="1" x14ac:dyDescent="0.3">
      <c r="B57" s="69" t="s">
        <v>134</v>
      </c>
      <c r="C57" s="70"/>
      <c r="D57" s="70"/>
      <c r="E57" s="60"/>
      <c r="F57" s="60"/>
    </row>
  </sheetData>
  <dataConsolidate/>
  <mergeCells count="26"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0.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244</v>
      </c>
      <c r="B1" t="s">
        <v>192</v>
      </c>
      <c r="C1" t="s">
        <v>245</v>
      </c>
    </row>
    <row r="2" spans="1:7" ht="17.25" thickBot="1" x14ac:dyDescent="0.35">
      <c r="A2" t="s">
        <v>330</v>
      </c>
      <c r="B2" t="s">
        <v>324</v>
      </c>
      <c r="C2" t="s">
        <v>379</v>
      </c>
    </row>
    <row r="3" spans="1:7" ht="17.25" thickBot="1" x14ac:dyDescent="0.35">
      <c r="A3" s="85" t="s">
        <v>246</v>
      </c>
      <c r="B3" s="85" t="s">
        <v>210</v>
      </c>
      <c r="C3" s="85" t="s">
        <v>247</v>
      </c>
      <c r="D3" s="85" t="s">
        <v>248</v>
      </c>
      <c r="E3" s="85" t="s">
        <v>249</v>
      </c>
      <c r="F3" s="85" t="s">
        <v>250</v>
      </c>
      <c r="G3" s="85" t="s">
        <v>251</v>
      </c>
    </row>
  </sheetData>
  <phoneticPr fontId="2" type="noConversion"/>
  <dataValidations count="1">
    <dataValidation type="list" allowBlank="1" showInputMessage="1" showErrorMessage="1" sqref="B4:B1004">
      <formula1>Alpha_Flip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86" t="s">
        <v>237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209</v>
      </c>
      <c r="C4" s="51" t="s">
        <v>194</v>
      </c>
      <c r="D4" s="51" t="s">
        <v>226</v>
      </c>
      <c r="E4" s="51" t="s">
        <v>238</v>
      </c>
      <c r="F4" s="51" t="s">
        <v>239</v>
      </c>
      <c r="G4" s="51" t="s">
        <v>240</v>
      </c>
      <c r="H4" s="51" t="s">
        <v>241</v>
      </c>
      <c r="I4" s="51" t="s">
        <v>243</v>
      </c>
      <c r="J4" s="51" t="s">
        <v>220</v>
      </c>
    </row>
    <row r="5" spans="1:10" x14ac:dyDescent="0.3">
      <c r="A5" t="s">
        <v>227</v>
      </c>
      <c r="B5" s="54"/>
      <c r="C5" s="55"/>
      <c r="D5" s="55"/>
      <c r="E5" s="55"/>
      <c r="F5" s="55"/>
      <c r="G5" s="55"/>
      <c r="H5" s="55" t="s">
        <v>242</v>
      </c>
      <c r="I5" s="55">
        <v>10</v>
      </c>
      <c r="J5" s="55" t="s">
        <v>221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86" t="s">
        <v>237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209</v>
      </c>
      <c r="C4" s="51" t="s">
        <v>194</v>
      </c>
      <c r="D4" s="51" t="s">
        <v>230</v>
      </c>
      <c r="E4" s="51" t="s">
        <v>231</v>
      </c>
      <c r="F4" s="51" t="s">
        <v>232</v>
      </c>
      <c r="G4" s="51" t="s">
        <v>233</v>
      </c>
      <c r="H4" s="51" t="s">
        <v>234</v>
      </c>
      <c r="I4" s="51" t="s">
        <v>235</v>
      </c>
      <c r="J4" s="51" t="s">
        <v>236</v>
      </c>
    </row>
    <row r="5" spans="1:10" x14ac:dyDescent="0.3">
      <c r="A5" t="s">
        <v>227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workbookViewId="0">
      <selection activeCell="F11" sqref="F11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1.625" bestFit="1" customWidth="1"/>
    <col min="5" max="6" width="31.3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228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328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208</v>
      </c>
      <c r="C6" s="51" t="s">
        <v>209</v>
      </c>
      <c r="D6" s="51" t="s">
        <v>210</v>
      </c>
      <c r="E6" s="51" t="s">
        <v>212</v>
      </c>
      <c r="F6" s="51" t="s">
        <v>214</v>
      </c>
      <c r="G6" s="51" t="s">
        <v>216</v>
      </c>
      <c r="H6" s="51" t="s">
        <v>218</v>
      </c>
      <c r="I6" s="51" t="s">
        <v>220</v>
      </c>
      <c r="J6" s="51" t="s">
        <v>222</v>
      </c>
      <c r="K6" s="51" t="s">
        <v>223</v>
      </c>
      <c r="L6" s="51" t="s">
        <v>224</v>
      </c>
      <c r="M6" s="51" t="s">
        <v>225</v>
      </c>
      <c r="N6" s="51" t="s">
        <v>226</v>
      </c>
    </row>
    <row r="7" spans="1:14" x14ac:dyDescent="0.3">
      <c r="A7" t="s">
        <v>227</v>
      </c>
      <c r="B7" s="54" t="s">
        <v>63</v>
      </c>
      <c r="C7" s="54" t="s">
        <v>381</v>
      </c>
      <c r="D7" s="55" t="s">
        <v>211</v>
      </c>
      <c r="E7" s="55" t="s">
        <v>213</v>
      </c>
      <c r="F7" s="55" t="s">
        <v>215</v>
      </c>
      <c r="G7" s="55" t="s">
        <v>217</v>
      </c>
      <c r="H7" s="55" t="s">
        <v>219</v>
      </c>
      <c r="I7" s="55" t="s">
        <v>221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382</v>
      </c>
      <c r="D8" s="56" t="s">
        <v>190</v>
      </c>
      <c r="E8" s="56" t="s">
        <v>331</v>
      </c>
      <c r="F8" s="56" t="s">
        <v>332</v>
      </c>
      <c r="G8" s="56" t="s">
        <v>333</v>
      </c>
      <c r="H8" s="56" t="s">
        <v>256</v>
      </c>
      <c r="I8" s="56" t="s">
        <v>334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 t="s">
        <v>69</v>
      </c>
      <c r="C9" s="54" t="s">
        <v>383</v>
      </c>
      <c r="D9" s="56" t="s">
        <v>190</v>
      </c>
      <c r="E9" s="56" t="s">
        <v>335</v>
      </c>
      <c r="F9" s="56" t="s">
        <v>336</v>
      </c>
      <c r="G9" s="56" t="s">
        <v>333</v>
      </c>
      <c r="H9" s="56" t="s">
        <v>256</v>
      </c>
      <c r="I9" s="56" t="s">
        <v>312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 t="s">
        <v>69</v>
      </c>
      <c r="C10" s="54" t="s">
        <v>384</v>
      </c>
      <c r="D10" s="56" t="s">
        <v>190</v>
      </c>
      <c r="E10" s="56" t="s">
        <v>337</v>
      </c>
      <c r="F10" s="56" t="s">
        <v>338</v>
      </c>
      <c r="G10" s="56" t="s">
        <v>333</v>
      </c>
      <c r="H10" s="56" t="s">
        <v>256</v>
      </c>
      <c r="I10" s="56" t="s">
        <v>313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 t="s">
        <v>69</v>
      </c>
      <c r="C11" s="54" t="s">
        <v>385</v>
      </c>
      <c r="D11" s="56" t="s">
        <v>190</v>
      </c>
      <c r="E11" s="56" t="s">
        <v>339</v>
      </c>
      <c r="F11" s="56" t="s">
        <v>340</v>
      </c>
      <c r="G11" s="56" t="s">
        <v>333</v>
      </c>
      <c r="H11" s="56" t="s">
        <v>256</v>
      </c>
      <c r="I11" s="56" t="s">
        <v>309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 x14ac:dyDescent="0.3">
      <c r="B12" s="54" t="s">
        <v>69</v>
      </c>
      <c r="C12" s="54" t="s">
        <v>386</v>
      </c>
      <c r="D12" s="56" t="s">
        <v>190</v>
      </c>
      <c r="E12" s="56" t="s">
        <v>341</v>
      </c>
      <c r="F12" s="56" t="s">
        <v>342</v>
      </c>
      <c r="G12" s="56" t="s">
        <v>333</v>
      </c>
      <c r="H12" s="56" t="s">
        <v>256</v>
      </c>
      <c r="I12" s="56" t="s">
        <v>310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 x14ac:dyDescent="0.3">
      <c r="B13" s="54" t="s">
        <v>69</v>
      </c>
      <c r="C13" s="54" t="s">
        <v>387</v>
      </c>
      <c r="D13" s="56" t="s">
        <v>190</v>
      </c>
      <c r="E13" s="56" t="s">
        <v>343</v>
      </c>
      <c r="F13" s="56" t="s">
        <v>344</v>
      </c>
      <c r="G13" s="56" t="s">
        <v>333</v>
      </c>
      <c r="H13" s="56" t="s">
        <v>256</v>
      </c>
      <c r="I13" s="56" t="s">
        <v>311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 x14ac:dyDescent="0.3">
      <c r="B14" s="54" t="s">
        <v>69</v>
      </c>
      <c r="C14" s="54" t="s">
        <v>388</v>
      </c>
      <c r="D14" s="56" t="s">
        <v>190</v>
      </c>
      <c r="E14" s="56" t="s">
        <v>345</v>
      </c>
      <c r="F14" s="56" t="s">
        <v>346</v>
      </c>
      <c r="G14" s="56" t="s">
        <v>333</v>
      </c>
      <c r="H14" s="56" t="s">
        <v>255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389</v>
      </c>
      <c r="D15" s="56" t="s">
        <v>190</v>
      </c>
      <c r="E15" s="56" t="s">
        <v>347</v>
      </c>
      <c r="F15" s="56" t="s">
        <v>348</v>
      </c>
      <c r="G15" s="56" t="s">
        <v>333</v>
      </c>
      <c r="H15" s="56" t="s">
        <v>255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390</v>
      </c>
      <c r="D16" s="56" t="s">
        <v>190</v>
      </c>
      <c r="E16" s="56" t="s">
        <v>349</v>
      </c>
      <c r="F16" s="56" t="s">
        <v>350</v>
      </c>
      <c r="G16" s="56" t="s">
        <v>333</v>
      </c>
      <c r="H16" s="56" t="s">
        <v>255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391</v>
      </c>
      <c r="D17" s="56" t="s">
        <v>190</v>
      </c>
      <c r="E17" s="56" t="s">
        <v>351</v>
      </c>
      <c r="F17" s="56" t="s">
        <v>352</v>
      </c>
      <c r="G17" s="56" t="s">
        <v>333</v>
      </c>
      <c r="H17" s="56" t="s">
        <v>255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392</v>
      </c>
      <c r="D18" s="56" t="s">
        <v>190</v>
      </c>
      <c r="E18" s="56" t="s">
        <v>259</v>
      </c>
      <c r="F18" s="56" t="s">
        <v>259</v>
      </c>
      <c r="G18" s="56" t="s">
        <v>333</v>
      </c>
      <c r="H18" s="56" t="s">
        <v>219</v>
      </c>
      <c r="I18" s="56" t="s">
        <v>353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393</v>
      </c>
      <c r="D19" s="56" t="s">
        <v>190</v>
      </c>
      <c r="E19" s="56" t="s">
        <v>260</v>
      </c>
      <c r="F19" s="56" t="s">
        <v>260</v>
      </c>
      <c r="G19" s="56" t="s">
        <v>333</v>
      </c>
      <c r="H19" s="56" t="s">
        <v>219</v>
      </c>
      <c r="I19" s="56" t="s">
        <v>354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394</v>
      </c>
      <c r="D20" s="56" t="s">
        <v>190</v>
      </c>
      <c r="E20" s="56" t="s">
        <v>261</v>
      </c>
      <c r="F20" s="56" t="s">
        <v>261</v>
      </c>
      <c r="G20" s="56" t="s">
        <v>333</v>
      </c>
      <c r="H20" s="56" t="s">
        <v>219</v>
      </c>
      <c r="I20" s="56" t="s">
        <v>295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395</v>
      </c>
      <c r="D21" s="56" t="s">
        <v>190</v>
      </c>
      <c r="E21" s="56" t="s">
        <v>262</v>
      </c>
      <c r="F21" s="56" t="s">
        <v>262</v>
      </c>
      <c r="G21" s="56" t="s">
        <v>333</v>
      </c>
      <c r="H21" s="56" t="s">
        <v>219</v>
      </c>
      <c r="I21" s="56" t="s">
        <v>296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396</v>
      </c>
      <c r="D22" s="56" t="s">
        <v>190</v>
      </c>
      <c r="E22" s="56" t="s">
        <v>263</v>
      </c>
      <c r="F22" s="56" t="s">
        <v>263</v>
      </c>
      <c r="G22" s="56" t="s">
        <v>333</v>
      </c>
      <c r="H22" s="56" t="s">
        <v>219</v>
      </c>
      <c r="I22" s="56" t="s">
        <v>297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397</v>
      </c>
      <c r="D23" s="56" t="s">
        <v>190</v>
      </c>
      <c r="E23" s="56" t="s">
        <v>264</v>
      </c>
      <c r="F23" s="56" t="s">
        <v>264</v>
      </c>
      <c r="G23" s="56" t="s">
        <v>333</v>
      </c>
      <c r="H23" s="56" t="s">
        <v>219</v>
      </c>
      <c r="I23" s="56" t="s">
        <v>298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398</v>
      </c>
      <c r="D24" s="56" t="s">
        <v>190</v>
      </c>
      <c r="E24" s="56" t="s">
        <v>265</v>
      </c>
      <c r="F24" s="56" t="s">
        <v>265</v>
      </c>
      <c r="G24" s="56" t="s">
        <v>333</v>
      </c>
      <c r="H24" s="56" t="s">
        <v>219</v>
      </c>
      <c r="I24" s="56" t="s">
        <v>299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399</v>
      </c>
      <c r="D25" s="56" t="s">
        <v>190</v>
      </c>
      <c r="E25" s="56" t="s">
        <v>266</v>
      </c>
      <c r="F25" s="56" t="s">
        <v>266</v>
      </c>
      <c r="G25" s="56" t="s">
        <v>333</v>
      </c>
      <c r="H25" s="56" t="s">
        <v>219</v>
      </c>
      <c r="I25" s="56" t="s">
        <v>300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400</v>
      </c>
      <c r="D26" s="56" t="s">
        <v>190</v>
      </c>
      <c r="E26" s="56" t="s">
        <v>267</v>
      </c>
      <c r="F26" s="56" t="s">
        <v>267</v>
      </c>
      <c r="G26" s="56" t="s">
        <v>333</v>
      </c>
      <c r="H26" s="56" t="s">
        <v>219</v>
      </c>
      <c r="I26" s="56" t="s">
        <v>301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401</v>
      </c>
      <c r="D27" s="56" t="s">
        <v>190</v>
      </c>
      <c r="E27" s="56" t="s">
        <v>268</v>
      </c>
      <c r="F27" s="56" t="s">
        <v>268</v>
      </c>
      <c r="G27" s="56" t="s">
        <v>333</v>
      </c>
      <c r="H27" s="56" t="s">
        <v>258</v>
      </c>
      <c r="I27" s="56" t="s">
        <v>355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402</v>
      </c>
      <c r="D28" s="56" t="s">
        <v>190</v>
      </c>
      <c r="E28" s="56" t="s">
        <v>269</v>
      </c>
      <c r="F28" s="56" t="s">
        <v>269</v>
      </c>
      <c r="G28" s="56" t="s">
        <v>333</v>
      </c>
      <c r="H28" s="56" t="s">
        <v>258</v>
      </c>
      <c r="I28" s="56" t="s">
        <v>356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403</v>
      </c>
      <c r="D29" s="56" t="s">
        <v>190</v>
      </c>
      <c r="E29" s="56" t="s">
        <v>270</v>
      </c>
      <c r="F29" s="56" t="s">
        <v>270</v>
      </c>
      <c r="G29" s="56" t="s">
        <v>333</v>
      </c>
      <c r="H29" s="56" t="s">
        <v>258</v>
      </c>
      <c r="I29" s="56" t="s">
        <v>302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404</v>
      </c>
      <c r="D30" s="56" t="s">
        <v>190</v>
      </c>
      <c r="E30" s="56" t="s">
        <v>271</v>
      </c>
      <c r="F30" s="56" t="s">
        <v>271</v>
      </c>
      <c r="G30" s="56" t="s">
        <v>333</v>
      </c>
      <c r="H30" s="56" t="s">
        <v>258</v>
      </c>
      <c r="I30" s="56" t="s">
        <v>303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405</v>
      </c>
      <c r="D31" s="56" t="s">
        <v>190</v>
      </c>
      <c r="E31" s="56" t="s">
        <v>272</v>
      </c>
      <c r="F31" s="56" t="s">
        <v>272</v>
      </c>
      <c r="G31" s="56" t="s">
        <v>333</v>
      </c>
      <c r="H31" s="56" t="s">
        <v>258</v>
      </c>
      <c r="I31" s="56" t="s">
        <v>304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406</v>
      </c>
      <c r="D32" s="56" t="s">
        <v>190</v>
      </c>
      <c r="E32" s="56" t="s">
        <v>273</v>
      </c>
      <c r="F32" s="56" t="s">
        <v>273</v>
      </c>
      <c r="G32" s="56" t="s">
        <v>333</v>
      </c>
      <c r="H32" s="56" t="s">
        <v>258</v>
      </c>
      <c r="I32" s="56" t="s">
        <v>305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407</v>
      </c>
      <c r="D33" s="56" t="s">
        <v>190</v>
      </c>
      <c r="E33" s="56" t="s">
        <v>274</v>
      </c>
      <c r="F33" s="56" t="s">
        <v>274</v>
      </c>
      <c r="G33" s="56" t="s">
        <v>333</v>
      </c>
      <c r="H33" s="56" t="s">
        <v>258</v>
      </c>
      <c r="I33" s="56" t="s">
        <v>306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408</v>
      </c>
      <c r="D34" s="56" t="s">
        <v>190</v>
      </c>
      <c r="E34" s="56" t="s">
        <v>275</v>
      </c>
      <c r="F34" s="56" t="s">
        <v>275</v>
      </c>
      <c r="G34" s="56" t="s">
        <v>333</v>
      </c>
      <c r="H34" s="56" t="s">
        <v>258</v>
      </c>
      <c r="I34" s="56" t="s">
        <v>307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409</v>
      </c>
      <c r="D35" s="56" t="s">
        <v>190</v>
      </c>
      <c r="E35" s="56" t="s">
        <v>276</v>
      </c>
      <c r="F35" s="56" t="s">
        <v>276</v>
      </c>
      <c r="G35" s="56" t="s">
        <v>333</v>
      </c>
      <c r="H35" s="56" t="s">
        <v>258</v>
      </c>
      <c r="I35" s="56" t="s">
        <v>308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 x14ac:dyDescent="0.3">
      <c r="B36" s="54" t="s">
        <v>69</v>
      </c>
      <c r="C36" s="54" t="s">
        <v>410</v>
      </c>
      <c r="D36" s="56" t="s">
        <v>190</v>
      </c>
      <c r="E36" s="56" t="s">
        <v>277</v>
      </c>
      <c r="F36" s="56" t="s">
        <v>277</v>
      </c>
      <c r="G36" s="56" t="s">
        <v>333</v>
      </c>
      <c r="H36" s="56" t="s">
        <v>257</v>
      </c>
      <c r="I36" s="56" t="s">
        <v>357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 x14ac:dyDescent="0.3">
      <c r="B37" s="54" t="s">
        <v>69</v>
      </c>
      <c r="C37" s="54" t="s">
        <v>411</v>
      </c>
      <c r="D37" s="56" t="s">
        <v>190</v>
      </c>
      <c r="E37" s="56" t="s">
        <v>278</v>
      </c>
      <c r="F37" s="56" t="s">
        <v>278</v>
      </c>
      <c r="G37" s="56" t="s">
        <v>333</v>
      </c>
      <c r="H37" s="56" t="s">
        <v>257</v>
      </c>
      <c r="I37" s="56" t="s">
        <v>358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 x14ac:dyDescent="0.3">
      <c r="B38" s="54" t="s">
        <v>69</v>
      </c>
      <c r="C38" s="54" t="s">
        <v>412</v>
      </c>
      <c r="D38" s="56" t="s">
        <v>190</v>
      </c>
      <c r="E38" s="56" t="s">
        <v>279</v>
      </c>
      <c r="F38" s="56" t="s">
        <v>279</v>
      </c>
      <c r="G38" s="56" t="s">
        <v>333</v>
      </c>
      <c r="H38" s="56" t="s">
        <v>257</v>
      </c>
      <c r="I38" s="56" t="s">
        <v>314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69</v>
      </c>
      <c r="C39" s="54" t="s">
        <v>413</v>
      </c>
      <c r="D39" s="56" t="s">
        <v>190</v>
      </c>
      <c r="E39" s="56" t="s">
        <v>280</v>
      </c>
      <c r="F39" s="56" t="s">
        <v>280</v>
      </c>
      <c r="G39" s="56" t="s">
        <v>333</v>
      </c>
      <c r="H39" s="56" t="s">
        <v>257</v>
      </c>
      <c r="I39" s="56" t="s">
        <v>315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69</v>
      </c>
      <c r="C40" s="54" t="s">
        <v>414</v>
      </c>
      <c r="D40" s="56" t="s">
        <v>190</v>
      </c>
      <c r="E40" s="56" t="s">
        <v>281</v>
      </c>
      <c r="F40" s="56" t="s">
        <v>281</v>
      </c>
      <c r="G40" s="56" t="s">
        <v>333</v>
      </c>
      <c r="H40" s="56" t="s">
        <v>257</v>
      </c>
      <c r="I40" s="56" t="s">
        <v>359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 x14ac:dyDescent="0.3">
      <c r="B41" s="54" t="s">
        <v>69</v>
      </c>
      <c r="C41" s="54" t="s">
        <v>415</v>
      </c>
      <c r="D41" s="56" t="s">
        <v>190</v>
      </c>
      <c r="E41" s="56" t="s">
        <v>282</v>
      </c>
      <c r="F41" s="56" t="s">
        <v>282</v>
      </c>
      <c r="G41" s="56" t="s">
        <v>333</v>
      </c>
      <c r="H41" s="56" t="s">
        <v>257</v>
      </c>
      <c r="I41" s="56" t="s">
        <v>360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 x14ac:dyDescent="0.3">
      <c r="B42" s="54" t="s">
        <v>69</v>
      </c>
      <c r="C42" s="54" t="s">
        <v>416</v>
      </c>
      <c r="D42" s="56" t="s">
        <v>190</v>
      </c>
      <c r="E42" s="56" t="s">
        <v>283</v>
      </c>
      <c r="F42" s="56" t="s">
        <v>283</v>
      </c>
      <c r="G42" s="56" t="s">
        <v>333</v>
      </c>
      <c r="H42" s="56" t="s">
        <v>257</v>
      </c>
      <c r="I42" s="56" t="s">
        <v>316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417</v>
      </c>
      <c r="D43" s="56" t="s">
        <v>190</v>
      </c>
      <c r="E43" s="56" t="s">
        <v>284</v>
      </c>
      <c r="F43" s="56" t="s">
        <v>284</v>
      </c>
      <c r="G43" s="56" t="s">
        <v>333</v>
      </c>
      <c r="H43" s="56" t="s">
        <v>257</v>
      </c>
      <c r="I43" s="56" t="s">
        <v>317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69</v>
      </c>
      <c r="C44" s="54" t="s">
        <v>418</v>
      </c>
      <c r="D44" s="56" t="s">
        <v>190</v>
      </c>
      <c r="E44" s="56" t="s">
        <v>285</v>
      </c>
      <c r="F44" s="56" t="s">
        <v>285</v>
      </c>
      <c r="G44" s="56" t="s">
        <v>333</v>
      </c>
      <c r="H44" s="56" t="s">
        <v>257</v>
      </c>
      <c r="I44" s="56" t="s">
        <v>361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 x14ac:dyDescent="0.3">
      <c r="B45" s="54" t="s">
        <v>69</v>
      </c>
      <c r="C45" s="54" t="s">
        <v>419</v>
      </c>
      <c r="D45" s="56" t="s">
        <v>190</v>
      </c>
      <c r="E45" s="56" t="s">
        <v>286</v>
      </c>
      <c r="F45" s="56" t="s">
        <v>286</v>
      </c>
      <c r="G45" s="56" t="s">
        <v>333</v>
      </c>
      <c r="H45" s="56" t="s">
        <v>257</v>
      </c>
      <c r="I45" s="56" t="s">
        <v>362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 t="s">
        <v>69</v>
      </c>
      <c r="C46" s="54" t="s">
        <v>420</v>
      </c>
      <c r="D46" s="56" t="s">
        <v>190</v>
      </c>
      <c r="E46" s="56" t="s">
        <v>287</v>
      </c>
      <c r="F46" s="56" t="s">
        <v>287</v>
      </c>
      <c r="G46" s="56" t="s">
        <v>333</v>
      </c>
      <c r="H46" s="56" t="s">
        <v>257</v>
      </c>
      <c r="I46" s="56" t="s">
        <v>363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69</v>
      </c>
      <c r="C47" s="54" t="s">
        <v>421</v>
      </c>
      <c r="D47" s="56" t="s">
        <v>190</v>
      </c>
      <c r="E47" s="56" t="s">
        <v>288</v>
      </c>
      <c r="F47" s="56" t="s">
        <v>288</v>
      </c>
      <c r="G47" s="56" t="s">
        <v>333</v>
      </c>
      <c r="H47" s="56" t="s">
        <v>257</v>
      </c>
      <c r="I47" s="56" t="s">
        <v>318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69</v>
      </c>
      <c r="C48" s="54" t="s">
        <v>422</v>
      </c>
      <c r="D48" s="56" t="s">
        <v>190</v>
      </c>
      <c r="E48" s="56" t="s">
        <v>289</v>
      </c>
      <c r="F48" s="56" t="s">
        <v>289</v>
      </c>
      <c r="G48" s="56" t="s">
        <v>333</v>
      </c>
      <c r="H48" s="56" t="s">
        <v>257</v>
      </c>
      <c r="I48" s="56" t="s">
        <v>319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 x14ac:dyDescent="0.3">
      <c r="B49" s="54" t="s">
        <v>69</v>
      </c>
      <c r="C49" s="54" t="s">
        <v>423</v>
      </c>
      <c r="D49" s="56" t="s">
        <v>190</v>
      </c>
      <c r="E49" s="56" t="s">
        <v>290</v>
      </c>
      <c r="F49" s="56" t="s">
        <v>290</v>
      </c>
      <c r="G49" s="56" t="s">
        <v>333</v>
      </c>
      <c r="H49" s="56" t="s">
        <v>257</v>
      </c>
      <c r="I49" s="56" t="s">
        <v>364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424</v>
      </c>
      <c r="D50" s="56" t="s">
        <v>190</v>
      </c>
      <c r="E50" s="56" t="s">
        <v>291</v>
      </c>
      <c r="F50" s="56" t="s">
        <v>291</v>
      </c>
      <c r="G50" s="56" t="s">
        <v>333</v>
      </c>
      <c r="H50" s="56" t="s">
        <v>257</v>
      </c>
      <c r="I50" s="56" t="s">
        <v>365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425</v>
      </c>
      <c r="D51" s="56" t="s">
        <v>190</v>
      </c>
      <c r="E51" s="56" t="s">
        <v>292</v>
      </c>
      <c r="F51" s="56" t="s">
        <v>292</v>
      </c>
      <c r="G51" s="56" t="s">
        <v>333</v>
      </c>
      <c r="H51" s="56" t="s">
        <v>257</v>
      </c>
      <c r="I51" s="56" t="s">
        <v>320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69</v>
      </c>
      <c r="C52" s="54" t="s">
        <v>426</v>
      </c>
      <c r="D52" s="56" t="s">
        <v>190</v>
      </c>
      <c r="E52" s="56" t="s">
        <v>293</v>
      </c>
      <c r="F52" s="56" t="s">
        <v>293</v>
      </c>
      <c r="G52" s="56" t="s">
        <v>333</v>
      </c>
      <c r="H52" s="56" t="s">
        <v>257</v>
      </c>
      <c r="I52" s="56" t="s">
        <v>321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69</v>
      </c>
      <c r="C53" s="54" t="s">
        <v>427</v>
      </c>
      <c r="D53" s="56" t="s">
        <v>190</v>
      </c>
      <c r="E53" s="56" t="s">
        <v>294</v>
      </c>
      <c r="F53" s="56" t="s">
        <v>294</v>
      </c>
      <c r="G53" s="56" t="s">
        <v>333</v>
      </c>
      <c r="H53" s="56" t="s">
        <v>257</v>
      </c>
      <c r="I53" s="56" t="s">
        <v>366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52</v>
      </c>
      <c r="C54" s="54" t="s">
        <v>428</v>
      </c>
      <c r="D54" s="56" t="s">
        <v>190</v>
      </c>
      <c r="E54" s="56" t="s">
        <v>367</v>
      </c>
      <c r="F54" s="56" t="s">
        <v>368</v>
      </c>
      <c r="G54" s="56" t="s">
        <v>333</v>
      </c>
      <c r="H54" s="56" t="s">
        <v>255</v>
      </c>
      <c r="I54" s="56" t="s">
        <v>369</v>
      </c>
      <c r="J54" s="56">
        <v>1</v>
      </c>
      <c r="K54" s="56">
        <v>2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429</v>
      </c>
      <c r="D55" s="56" t="s">
        <v>190</v>
      </c>
      <c r="E55" s="56" t="s">
        <v>370</v>
      </c>
      <c r="F55" s="56" t="s">
        <v>371</v>
      </c>
      <c r="G55" s="56" t="s">
        <v>333</v>
      </c>
      <c r="H55" s="56" t="s">
        <v>253</v>
      </c>
      <c r="I55" s="56" t="s">
        <v>372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52</v>
      </c>
      <c r="C56" s="54" t="s">
        <v>430</v>
      </c>
      <c r="D56" s="56" t="s">
        <v>190</v>
      </c>
      <c r="E56" s="56" t="s">
        <v>373</v>
      </c>
      <c r="F56" s="56" t="s">
        <v>374</v>
      </c>
      <c r="G56" s="56" t="s">
        <v>333</v>
      </c>
      <c r="H56" s="56" t="s">
        <v>255</v>
      </c>
      <c r="I56" s="56" t="s">
        <v>375</v>
      </c>
      <c r="J56" s="56">
        <v>1</v>
      </c>
      <c r="K56" s="56">
        <v>2</v>
      </c>
      <c r="L56" s="56">
        <v>500</v>
      </c>
      <c r="M56" s="56" t="b">
        <v>1</v>
      </c>
      <c r="N56" s="56"/>
    </row>
    <row r="57" spans="2:14" x14ac:dyDescent="0.3">
      <c r="B57" s="54" t="s">
        <v>69</v>
      </c>
      <c r="C57" s="54" t="s">
        <v>431</v>
      </c>
      <c r="D57" s="56" t="s">
        <v>190</v>
      </c>
      <c r="E57" s="56" t="s">
        <v>376</v>
      </c>
      <c r="F57" s="56" t="s">
        <v>377</v>
      </c>
      <c r="G57" s="56" t="s">
        <v>333</v>
      </c>
      <c r="H57" s="56" t="s">
        <v>253</v>
      </c>
      <c r="I57" s="56" t="s">
        <v>378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Alpha_Flip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9"/>
  <sheetViews>
    <sheetView workbookViewId="0">
      <selection activeCell="J13" sqref="J13"/>
    </sheetView>
  </sheetViews>
  <sheetFormatPr defaultRowHeight="16.5" x14ac:dyDescent="0.3"/>
  <cols>
    <col min="2" max="2" width="15" bestFit="1" customWidth="1"/>
    <col min="3" max="3" width="16.875" bestFit="1" customWidth="1"/>
    <col min="4" max="4" width="20.25" bestFit="1" customWidth="1"/>
    <col min="5" max="5" width="15" bestFit="1" customWidth="1"/>
    <col min="6" max="6" width="9.75" bestFit="1" customWidth="1"/>
    <col min="7" max="7" width="12.125" bestFit="1" customWidth="1"/>
    <col min="8" max="8" width="21.5" bestFit="1" customWidth="1"/>
    <col min="9" max="9" width="8.625" bestFit="1" customWidth="1"/>
    <col min="10" max="10" width="9.75" bestFit="1" customWidth="1"/>
    <col min="11" max="11" width="8.875" bestFit="1" customWidth="1"/>
    <col min="12" max="12" width="9.87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86" t="s">
        <v>327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33" customFormat="1" ht="17.25" thickBot="1" x14ac:dyDescent="0.35">
      <c r="B4" s="87" t="s">
        <v>205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33" customFormat="1" ht="17.25" thickBot="1" x14ac:dyDescent="0.35"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7.25" thickBot="1" x14ac:dyDescent="0.35">
      <c r="B6" s="85" t="s">
        <v>191</v>
      </c>
      <c r="C6" s="85" t="s">
        <v>192</v>
      </c>
      <c r="D6" s="85" t="s">
        <v>193</v>
      </c>
      <c r="E6" s="85" t="s">
        <v>194</v>
      </c>
      <c r="F6" s="85" t="s">
        <v>195</v>
      </c>
      <c r="G6" s="85" t="s">
        <v>196</v>
      </c>
      <c r="H6" s="85" t="s">
        <v>197</v>
      </c>
      <c r="I6" s="85" t="s">
        <v>198</v>
      </c>
      <c r="J6" s="85" t="s">
        <v>199</v>
      </c>
      <c r="K6" s="85" t="s">
        <v>200</v>
      </c>
      <c r="L6" s="85" t="s">
        <v>201</v>
      </c>
      <c r="M6" s="85" t="s">
        <v>202</v>
      </c>
      <c r="N6" s="85" t="s">
        <v>203</v>
      </c>
      <c r="O6" s="85" t="s">
        <v>204</v>
      </c>
    </row>
    <row r="7" spans="1:15" x14ac:dyDescent="0.3">
      <c r="A7" s="57"/>
      <c r="B7" s="58" t="s">
        <v>329</v>
      </c>
      <c r="C7" s="40" t="s">
        <v>324</v>
      </c>
      <c r="D7" s="40" t="s">
        <v>229</v>
      </c>
      <c r="E7" s="40" t="s">
        <v>329</v>
      </c>
      <c r="F7" s="53"/>
      <c r="G7" s="53"/>
      <c r="H7" s="40">
        <v>2</v>
      </c>
      <c r="I7" s="53"/>
      <c r="J7" s="40" t="s">
        <v>252</v>
      </c>
      <c r="K7" s="53"/>
      <c r="L7" s="53"/>
      <c r="M7" s="53"/>
      <c r="N7" s="53"/>
      <c r="O7" s="53"/>
    </row>
    <row r="17" spans="3:3" x14ac:dyDescent="0.3">
      <c r="C17" t="s">
        <v>206</v>
      </c>
    </row>
    <row r="19" spans="3:3" x14ac:dyDescent="0.3">
      <c r="C19" t="s">
        <v>207</v>
      </c>
    </row>
  </sheetData>
  <mergeCells count="2">
    <mergeCell ref="B2:O3"/>
    <mergeCell ref="B4:O5"/>
  </mergeCells>
  <phoneticPr fontId="2" type="noConversion"/>
  <dataValidations count="1">
    <dataValidation type="list" allowBlank="1" showInputMessage="1" showErrorMessage="1" sqref="J7">
      <formula1>ReadType</formula1>
    </dataValidation>
  </dataValidations>
  <hyperlinks>
    <hyperlink ref="B7" location="Alpha_Flip_M_0!A1" display="Alpha_Flip_M_0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18</vt:i4>
      </vt:variant>
    </vt:vector>
  </HeadingPairs>
  <TitlesOfParts>
    <vt:vector size="25" baseType="lpstr">
      <vt:lpstr>Equip Units</vt:lpstr>
      <vt:lpstr>MIDAS 설정</vt:lpstr>
      <vt:lpstr>Alarm List</vt:lpstr>
      <vt:lpstr>Report Sequence</vt:lpstr>
      <vt:lpstr>Alarm수집방식설정</vt:lpstr>
      <vt:lpstr>Alpha_Flip_M_0</vt:lpstr>
      <vt:lpstr>Connection Info</vt:lpstr>
      <vt:lpstr>AlarmLevel</vt:lpstr>
      <vt:lpstr>AlarmMethod</vt:lpstr>
      <vt:lpstr>AlarmTestMachine</vt:lpstr>
      <vt:lpstr>Alpha_Flip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2020-02-20T00:36:54Z</dcterms:modified>
</cp:coreProperties>
</file>